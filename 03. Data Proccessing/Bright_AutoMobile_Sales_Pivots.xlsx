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ndai Shumba\Downloads\"/>
    </mc:Choice>
  </mc:AlternateContent>
  <xr:revisionPtr revIDLastSave="0" documentId="13_ncr:1_{7A86BE45-652E-473D-AFD2-FF28DAA5C6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KPIs" sheetId="1" r:id="rId1"/>
    <sheet name="Revenue by State" sheetId="2" r:id="rId2"/>
    <sheet name="Top 10 Sellers" sheetId="3" r:id="rId3"/>
    <sheet name="Body Style Mix" sheetId="4" r:id="rId4"/>
    <sheet name="Pivot State x Quart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" l="1"/>
  <c r="D14" i="5"/>
  <c r="C14" i="5"/>
  <c r="B14" i="5"/>
  <c r="F13" i="5"/>
  <c r="F12" i="5"/>
  <c r="F11" i="5"/>
  <c r="F10" i="5"/>
  <c r="F9" i="5"/>
  <c r="F8" i="5"/>
  <c r="F7" i="5"/>
  <c r="F6" i="5"/>
  <c r="F5" i="5"/>
  <c r="F4" i="5"/>
  <c r="F14" i="5" s="1"/>
  <c r="C8" i="4"/>
  <c r="C7" i="4"/>
  <c r="C6" i="4"/>
  <c r="C5" i="4"/>
  <c r="C4" i="4"/>
  <c r="D13" i="2"/>
  <c r="D12" i="2"/>
  <c r="D11" i="2"/>
  <c r="D10" i="2"/>
  <c r="D9" i="2"/>
  <c r="D8" i="2"/>
  <c r="D7" i="2"/>
  <c r="D6" i="2"/>
  <c r="D5" i="2"/>
  <c r="D4" i="2"/>
  <c r="B6" i="1"/>
</calcChain>
</file>

<file path=xl/sharedStrings.xml><?xml version="1.0" encoding="utf-8"?>
<sst xmlns="http://schemas.openxmlformats.org/spreadsheetml/2006/main" count="94" uniqueCount="61">
  <si>
    <t>Bright AutoMobile — Executive KPIs</t>
  </si>
  <si>
    <t>KPI</t>
  </si>
  <si>
    <t>Value</t>
  </si>
  <si>
    <t>Total Revenue (R)</t>
  </si>
  <si>
    <t>Total Units Sold</t>
  </si>
  <si>
    <t>Average Selling Price (R)</t>
  </si>
  <si>
    <t>Number of States</t>
  </si>
  <si>
    <t>Number of Models</t>
  </si>
  <si>
    <t>Quarter</t>
  </si>
  <si>
    <t>Revenue (R)</t>
  </si>
  <si>
    <t>Q1</t>
  </si>
  <si>
    <t>Q2</t>
  </si>
  <si>
    <t>Q3</t>
  </si>
  <si>
    <t>Q4</t>
  </si>
  <si>
    <t>Margin Tier</t>
  </si>
  <si>
    <t>High Margin</t>
  </si>
  <si>
    <t>Mid Margin</t>
  </si>
  <si>
    <t>Low Margin</t>
  </si>
  <si>
    <t>Top 10 States by Revenue</t>
  </si>
  <si>
    <t>Rank</t>
  </si>
  <si>
    <t>State</t>
  </si>
  <si>
    <t>% of Total</t>
  </si>
  <si>
    <t>FL</t>
  </si>
  <si>
    <t>CA</t>
  </si>
  <si>
    <t>PA</t>
  </si>
  <si>
    <t>TX</t>
  </si>
  <si>
    <t>NY</t>
  </si>
  <si>
    <t>OH</t>
  </si>
  <si>
    <t>GA</t>
  </si>
  <si>
    <t>IL</t>
  </si>
  <si>
    <t>NC</t>
  </si>
  <si>
    <t>MI</t>
  </si>
  <si>
    <t>Top 10 Best-Selling Models</t>
  </si>
  <si>
    <t>Model</t>
  </si>
  <si>
    <t>Make</t>
  </si>
  <si>
    <t>F-150</t>
  </si>
  <si>
    <t>Ford</t>
  </si>
  <si>
    <t>Altima</t>
  </si>
  <si>
    <t>Nissan</t>
  </si>
  <si>
    <t>Escape</t>
  </si>
  <si>
    <t>Silverado</t>
  </si>
  <si>
    <t>Chevrolet</t>
  </si>
  <si>
    <t>Camry</t>
  </si>
  <si>
    <t>Toyota</t>
  </si>
  <si>
    <t>Civic</t>
  </si>
  <si>
    <t>Honda</t>
  </si>
  <si>
    <t>RAV4</t>
  </si>
  <si>
    <t>Equinox</t>
  </si>
  <si>
    <t>CR-V</t>
  </si>
  <si>
    <t>Mustang</t>
  </si>
  <si>
    <t>Revenue by Body Style</t>
  </si>
  <si>
    <t>Body Style</t>
  </si>
  <si>
    <t>% Mix</t>
  </si>
  <si>
    <t>Sedan</t>
  </si>
  <si>
    <t>SUV</t>
  </si>
  <si>
    <t>Truck</t>
  </si>
  <si>
    <t>Hatchback</t>
  </si>
  <si>
    <t>Coupe</t>
  </si>
  <si>
    <t>Top 5 Makes by Revenue</t>
  </si>
  <si>
    <t>Revenue Pivot — State × Quarter (R)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</si>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</sst>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3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Quarterly Revenue Growth</a:t>
            </a:r>
          </a:p>
        </c:rich>
      </c:tx>
      <c:layout>
        <c:manualLayout>
          <c:xMode val="edge"/>
          <c:yMode val="edge"/>
          <c:x val="0.36963194444444453"/>
          <c:y val="5.095679012345678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KPIs'!$B$11</c:f>
              <c:strCache>
                <c:ptCount val="1"/>
                <c:pt idx="0">
                  <c:v>Revenue (R)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'Executive KPIs'!$A$12:$A$15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'Executive KPIs'!$B$12:$B$15</c:f>
              <c:numCache>
                <c:formatCode>"R"#\ ##0</c:formatCode>
                <c:ptCount val="4"/>
                <c:pt idx="0">
                  <c:v>1750000000</c:v>
                </c:pt>
                <c:pt idx="1">
                  <c:v>1880000000</c:v>
                </c:pt>
                <c:pt idx="2">
                  <c:v>1950000000</c:v>
                </c:pt>
                <c:pt idx="3">
                  <c:v>2030000000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0-4AAC-A563-8869C9990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>
      <a:outerShdw blurRad="50800" dist="38100" dir="5400000" algn="t" rotWithShape="0">
        <a:schemeClr val="tx1"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Revenue by Margin Tier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'Executive KPIs'!$B$28</c:f>
              <c:strCache>
                <c:ptCount val="1"/>
                <c:pt idx="0">
                  <c:v>Revenue (R)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KPIs'!$A$29:$A$31</c:f>
              <c:strCache>
                <c:ptCount val="3"/>
                <c:pt idx="0">
                  <c:v>High Margin</c:v>
                </c:pt>
                <c:pt idx="1">
                  <c:v>Mid Margin</c:v>
                </c:pt>
                <c:pt idx="2">
                  <c:v>Low Margin</c:v>
                </c:pt>
              </c:strCache>
            </c:strRef>
          </c:cat>
          <c:val>
            <c:numRef>
              <c:f>'Executive KPIs'!$B$29:$B$31</c:f>
              <c:numCache>
                <c:formatCode>"R"#\ ##0</c:formatCode>
                <c:ptCount val="3"/>
                <c:pt idx="0">
                  <c:v>3200000000</c:v>
                </c:pt>
                <c:pt idx="1">
                  <c:v>2900000000</c:v>
                </c:pt>
                <c:pt idx="2">
                  <c:v>1510000000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D-4EDA-ADB2-2D7D3B2EC34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spPr>
    <a:effectLst>
      <a:outerShdw blurRad="50800" dist="38100" dir="5400000" algn="t" rotWithShape="0">
        <a:schemeClr val="tx1">
          <a:alpha val="40000"/>
        </a:schemeClr>
      </a:outerShdw>
    </a:effec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10 States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'Revenue by State'!$C$3</c:f>
              <c:strCache>
                <c:ptCount val="1"/>
                <c:pt idx="0">
                  <c:v>Revenue (R)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42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42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4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5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55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5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68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68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6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80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80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93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9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94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9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81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81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8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69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69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6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6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56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5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43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43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4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'Revenue by State'!$B$4:$B$13</c:f>
              <c:strCache>
                <c:ptCount val="10"/>
                <c:pt idx="0">
                  <c:v>FL</c:v>
                </c:pt>
                <c:pt idx="1">
                  <c:v>CA</c:v>
                </c:pt>
                <c:pt idx="2">
                  <c:v>PA</c:v>
                </c:pt>
                <c:pt idx="3">
                  <c:v>TX</c:v>
                </c:pt>
                <c:pt idx="4">
                  <c:v>NY</c:v>
                </c:pt>
                <c:pt idx="5">
                  <c:v>OH</c:v>
                </c:pt>
                <c:pt idx="6">
                  <c:v>GA</c:v>
                </c:pt>
                <c:pt idx="7">
                  <c:v>IL</c:v>
                </c:pt>
                <c:pt idx="8">
                  <c:v>NC</c:v>
                </c:pt>
                <c:pt idx="9">
                  <c:v>MI</c:v>
                </c:pt>
              </c:strCache>
            </c:strRef>
          </c:cat>
          <c:val>
            <c:numRef>
              <c:f>'Revenue by State'!$C$4:$C$13</c:f>
              <c:numCache>
                <c:formatCode>"R"#\ ##0</c:formatCode>
                <c:ptCount val="10"/>
                <c:pt idx="0">
                  <c:v>890000000</c:v>
                </c:pt>
                <c:pt idx="1">
                  <c:v>845000000</c:v>
                </c:pt>
                <c:pt idx="2">
                  <c:v>720000000</c:v>
                </c:pt>
                <c:pt idx="3">
                  <c:v>695000000</c:v>
                </c:pt>
                <c:pt idx="4">
                  <c:v>610000000</c:v>
                </c:pt>
                <c:pt idx="5">
                  <c:v>540000000</c:v>
                </c:pt>
                <c:pt idx="6">
                  <c:v>495000000</c:v>
                </c:pt>
                <c:pt idx="7">
                  <c:v>470000000</c:v>
                </c:pt>
                <c:pt idx="8">
                  <c:v>430000000</c:v>
                </c:pt>
                <c:pt idx="9">
                  <c:v>405000000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C-4598-B335-A418F0E05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10 Sellers by Revenue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80555555555555"/>
          <c:y val="7.5072102179088093E-2"/>
          <c:w val="0.82143734567901239"/>
          <c:h val="0.8322148148148148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'Top 10 Sellers'!$D$3</c:f>
              <c:strCache>
                <c:ptCount val="1"/>
                <c:pt idx="0">
                  <c:v>Revenue (R)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Sellers'!$B$4:$B$13</c:f>
              <c:strCache>
                <c:ptCount val="10"/>
                <c:pt idx="0">
                  <c:v>F-150</c:v>
                </c:pt>
                <c:pt idx="1">
                  <c:v>Altima</c:v>
                </c:pt>
                <c:pt idx="2">
                  <c:v>Escape</c:v>
                </c:pt>
                <c:pt idx="3">
                  <c:v>Silverado</c:v>
                </c:pt>
                <c:pt idx="4">
                  <c:v>Camry</c:v>
                </c:pt>
                <c:pt idx="5">
                  <c:v>Civic</c:v>
                </c:pt>
                <c:pt idx="6">
                  <c:v>RAV4</c:v>
                </c:pt>
                <c:pt idx="7">
                  <c:v>Equinox</c:v>
                </c:pt>
                <c:pt idx="8">
                  <c:v>CR-V</c:v>
                </c:pt>
                <c:pt idx="9">
                  <c:v>Mustang</c:v>
                </c:pt>
              </c:strCache>
            </c:strRef>
          </c:cat>
          <c:val>
            <c:numRef>
              <c:f>'Top 10 Sellers'!$D$4:$D$13</c:f>
              <c:numCache>
                <c:formatCode>"R"#\ ##0</c:formatCode>
                <c:ptCount val="10"/>
                <c:pt idx="0">
                  <c:v>520000000</c:v>
                </c:pt>
                <c:pt idx="1">
                  <c:v>445000000</c:v>
                </c:pt>
                <c:pt idx="2">
                  <c:v>410000000</c:v>
                </c:pt>
                <c:pt idx="3">
                  <c:v>395000000</c:v>
                </c:pt>
                <c:pt idx="4">
                  <c:v>380000000</c:v>
                </c:pt>
                <c:pt idx="5">
                  <c:v>355000000</c:v>
                </c:pt>
                <c:pt idx="6">
                  <c:v>340000000</c:v>
                </c:pt>
                <c:pt idx="7">
                  <c:v>315000000</c:v>
                </c:pt>
                <c:pt idx="8">
                  <c:v>295000000</c:v>
                </c:pt>
                <c:pt idx="9">
                  <c:v>275000000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0-4FA3-8727-6CDE7E6793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5400000" algn="t" rotWithShape="0">
        <a:schemeClr val="tx1"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Body Style Revenue Mix</a:t>
            </a:r>
          </a:p>
        </c:rich>
      </c:tx>
      <c:layout>
        <c:manualLayout>
          <c:xMode val="edge"/>
          <c:yMode val="edge"/>
          <c:x val="0.64129526462395547"/>
          <c:y val="3.223726627981947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'Body Style Mix'!$B$3</c:f>
              <c:strCache>
                <c:ptCount val="1"/>
                <c:pt idx="0">
                  <c:v>Revenue (R)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'Body Style Mix'!$A$4:$A$8</c:f>
              <c:strCache>
                <c:ptCount val="5"/>
                <c:pt idx="0">
                  <c:v>Sedan</c:v>
                </c:pt>
                <c:pt idx="1">
                  <c:v>SUV</c:v>
                </c:pt>
                <c:pt idx="2">
                  <c:v>Truck</c:v>
                </c:pt>
                <c:pt idx="3">
                  <c:v>Hatchback</c:v>
                </c:pt>
                <c:pt idx="4">
                  <c:v>Coupe</c:v>
                </c:pt>
              </c:strCache>
            </c:strRef>
          </c:cat>
          <c:val>
            <c:numRef>
              <c:f>'Body Style Mix'!$B$4:$B$8</c:f>
              <c:numCache>
                <c:formatCode>"R"#\ ##0</c:formatCode>
                <c:ptCount val="5"/>
                <c:pt idx="0">
                  <c:v>2450000000</c:v>
                </c:pt>
                <c:pt idx="1">
                  <c:v>2280000000</c:v>
                </c:pt>
                <c:pt idx="2">
                  <c:v>1620000000</c:v>
                </c:pt>
                <c:pt idx="3">
                  <c:v>780000000</c:v>
                </c:pt>
                <c:pt idx="4">
                  <c:v>480000000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2-4620-BDBA-6A9E3E64BBC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>
      <a:outerShdw blurRad="50800" dist="38100" dir="5400000" algn="t" rotWithShape="0">
        <a:schemeClr val="tx1"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5 Makes by Revenue</a:t>
            </a:r>
          </a:p>
        </c:rich>
      </c:tx>
      <c:layout>
        <c:manualLayout>
          <c:xMode val="edge"/>
          <c:yMode val="edge"/>
          <c:x val="0.42107135416666669"/>
          <c:y val="4.703703703703703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'Body Style Mix'!$B$28</c:f>
              <c:strCache>
                <c:ptCount val="1"/>
                <c:pt idx="0">
                  <c:v>Revenue (R)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'Body Style Mix'!$A$29:$A$33</c:f>
              <c:strCache>
                <c:ptCount val="5"/>
                <c:pt idx="0">
                  <c:v>Ford</c:v>
                </c:pt>
                <c:pt idx="1">
                  <c:v>Chevrolet</c:v>
                </c:pt>
                <c:pt idx="2">
                  <c:v>Toyota</c:v>
                </c:pt>
                <c:pt idx="3">
                  <c:v>Honda</c:v>
                </c:pt>
                <c:pt idx="4">
                  <c:v>Nissan</c:v>
                </c:pt>
              </c:strCache>
            </c:strRef>
          </c:cat>
          <c:val>
            <c:numRef>
              <c:f>'Body Style Mix'!$B$29:$B$33</c:f>
              <c:numCache>
                <c:formatCode>"R"#\ ##0</c:formatCode>
                <c:ptCount val="5"/>
                <c:pt idx="0">
                  <c:v>1620000000</c:v>
                </c:pt>
                <c:pt idx="1">
                  <c:v>1380000000</c:v>
                </c:pt>
                <c:pt idx="2">
                  <c:v>1290000000</c:v>
                </c:pt>
                <c:pt idx="3">
                  <c:v>1110000000</c:v>
                </c:pt>
                <c:pt idx="4">
                  <c:v>895000000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2-4010-83F6-BEA0B1D91C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State Revenue by Quarter (Stacked)</a:t>
            </a:r>
          </a:p>
        </c:rich>
      </c:tx>
      <c:layout>
        <c:manualLayout>
          <c:xMode val="edge"/>
          <c:yMode val="edge"/>
          <c:x val="0.36200208333333334"/>
          <c:y val="4.409722222222222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State x Quarter'!$B$3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cat>
            <c:strRef>
              <c:f>'Pivot State x Quarter'!$A$4:$A$13</c:f>
              <c:strCache>
                <c:ptCount val="10"/>
                <c:pt idx="0">
                  <c:v>FL</c:v>
                </c:pt>
                <c:pt idx="1">
                  <c:v>CA</c:v>
                </c:pt>
                <c:pt idx="2">
                  <c:v>PA</c:v>
                </c:pt>
                <c:pt idx="3">
                  <c:v>TX</c:v>
                </c:pt>
                <c:pt idx="4">
                  <c:v>NY</c:v>
                </c:pt>
                <c:pt idx="5">
                  <c:v>OH</c:v>
                </c:pt>
                <c:pt idx="6">
                  <c:v>GA</c:v>
                </c:pt>
                <c:pt idx="7">
                  <c:v>IL</c:v>
                </c:pt>
                <c:pt idx="8">
                  <c:v>NC</c:v>
                </c:pt>
                <c:pt idx="9">
                  <c:v>MI</c:v>
                </c:pt>
              </c:strCache>
            </c:strRef>
          </c:cat>
          <c:val>
            <c:numRef>
              <c:f>'Pivot State x Quarter'!$B$4:$B$13</c:f>
              <c:numCache>
                <c:formatCode>"R"#\ ##0</c:formatCode>
                <c:ptCount val="10"/>
                <c:pt idx="0">
                  <c:v>210000000</c:v>
                </c:pt>
                <c:pt idx="1">
                  <c:v>200000000</c:v>
                </c:pt>
                <c:pt idx="2">
                  <c:v>170000000</c:v>
                </c:pt>
                <c:pt idx="3">
                  <c:v>165000000</c:v>
                </c:pt>
                <c:pt idx="4">
                  <c:v>145000000</c:v>
                </c:pt>
                <c:pt idx="5">
                  <c:v>128000000</c:v>
                </c:pt>
                <c:pt idx="6">
                  <c:v>115000000</c:v>
                </c:pt>
                <c:pt idx="7">
                  <c:v>110000000</c:v>
                </c:pt>
                <c:pt idx="8">
                  <c:v>100000000</c:v>
                </c:pt>
                <c:pt idx="9">
                  <c:v>95000000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F-4D1C-A308-EE7C70E1F308}"/>
            </c:ext>
          </c:extLst>
        </c:ser>
        <c:ser>
          <c:idx val="1"/>
          <c:order val="1"/>
          <c:tx>
            <c:strRef>
              <c:f>'Pivot State x Quarter'!$C$3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cat>
            <c:strRef>
              <c:f>'Pivot State x Quarter'!$A$4:$A$13</c:f>
              <c:strCache>
                <c:ptCount val="10"/>
                <c:pt idx="0">
                  <c:v>FL</c:v>
                </c:pt>
                <c:pt idx="1">
                  <c:v>CA</c:v>
                </c:pt>
                <c:pt idx="2">
                  <c:v>PA</c:v>
                </c:pt>
                <c:pt idx="3">
                  <c:v>TX</c:v>
                </c:pt>
                <c:pt idx="4">
                  <c:v>NY</c:v>
                </c:pt>
                <c:pt idx="5">
                  <c:v>OH</c:v>
                </c:pt>
                <c:pt idx="6">
                  <c:v>GA</c:v>
                </c:pt>
                <c:pt idx="7">
                  <c:v>IL</c:v>
                </c:pt>
                <c:pt idx="8">
                  <c:v>NC</c:v>
                </c:pt>
                <c:pt idx="9">
                  <c:v>MI</c:v>
                </c:pt>
              </c:strCache>
            </c:strRef>
          </c:cat>
          <c:val>
            <c:numRef>
              <c:f>'Pivot State x Quarter'!$C$4:$C$13</c:f>
              <c:numCache>
                <c:formatCode>"R"#\ ##0</c:formatCode>
                <c:ptCount val="10"/>
                <c:pt idx="0">
                  <c:v>225000000</c:v>
                </c:pt>
                <c:pt idx="1">
                  <c:v>210000000</c:v>
                </c:pt>
                <c:pt idx="2">
                  <c:v>178000000</c:v>
                </c:pt>
                <c:pt idx="3">
                  <c:v>170000000</c:v>
                </c:pt>
                <c:pt idx="4">
                  <c:v>150000000</c:v>
                </c:pt>
                <c:pt idx="5">
                  <c:v>132000000</c:v>
                </c:pt>
                <c:pt idx="6">
                  <c:v>122000000</c:v>
                </c:pt>
                <c:pt idx="7">
                  <c:v>116000000</c:v>
                </c:pt>
                <c:pt idx="8">
                  <c:v>106000000</c:v>
                </c:pt>
                <c:pt idx="9">
                  <c:v>100000000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F-4D1C-A308-EE7C70E1F308}"/>
            </c:ext>
          </c:extLst>
        </c:ser>
        <c:ser>
          <c:idx val="2"/>
          <c:order val="2"/>
          <c:tx>
            <c:strRef>
              <c:f>'Pivot State x Quarter'!$D$3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cat>
            <c:strRef>
              <c:f>'Pivot State x Quarter'!$A$4:$A$13</c:f>
              <c:strCache>
                <c:ptCount val="10"/>
                <c:pt idx="0">
                  <c:v>FL</c:v>
                </c:pt>
                <c:pt idx="1">
                  <c:v>CA</c:v>
                </c:pt>
                <c:pt idx="2">
                  <c:v>PA</c:v>
                </c:pt>
                <c:pt idx="3">
                  <c:v>TX</c:v>
                </c:pt>
                <c:pt idx="4">
                  <c:v>NY</c:v>
                </c:pt>
                <c:pt idx="5">
                  <c:v>OH</c:v>
                </c:pt>
                <c:pt idx="6">
                  <c:v>GA</c:v>
                </c:pt>
                <c:pt idx="7">
                  <c:v>IL</c:v>
                </c:pt>
                <c:pt idx="8">
                  <c:v>NC</c:v>
                </c:pt>
                <c:pt idx="9">
                  <c:v>MI</c:v>
                </c:pt>
              </c:strCache>
            </c:strRef>
          </c:cat>
          <c:val>
            <c:numRef>
              <c:f>'Pivot State x Quarter'!$D$4:$D$13</c:f>
              <c:numCache>
                <c:formatCode>"R"#\ ##0</c:formatCode>
                <c:ptCount val="10"/>
                <c:pt idx="0">
                  <c:v>225000000</c:v>
                </c:pt>
                <c:pt idx="1">
                  <c:v>215000000</c:v>
                </c:pt>
                <c:pt idx="2">
                  <c:v>185000000</c:v>
                </c:pt>
                <c:pt idx="3">
                  <c:v>178000000</c:v>
                </c:pt>
                <c:pt idx="4">
                  <c:v>155000000</c:v>
                </c:pt>
                <c:pt idx="5">
                  <c:v>138000000</c:v>
                </c:pt>
                <c:pt idx="6">
                  <c:v>127000000</c:v>
                </c:pt>
                <c:pt idx="7">
                  <c:v>120000000</c:v>
                </c:pt>
                <c:pt idx="8">
                  <c:v>110000000</c:v>
                </c:pt>
                <c:pt idx="9">
                  <c:v>103000000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F-4D1C-A308-EE7C70E1F308}"/>
            </c:ext>
          </c:extLst>
        </c:ser>
        <c:ser>
          <c:idx val="3"/>
          <c:order val="3"/>
          <c:tx>
            <c:strRef>
              <c:f>'Pivot State x Quarter'!$E$3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cat>
            <c:strRef>
              <c:f>'Pivot State x Quarter'!$A$4:$A$13</c:f>
              <c:strCache>
                <c:ptCount val="10"/>
                <c:pt idx="0">
                  <c:v>FL</c:v>
                </c:pt>
                <c:pt idx="1">
                  <c:v>CA</c:v>
                </c:pt>
                <c:pt idx="2">
                  <c:v>PA</c:v>
                </c:pt>
                <c:pt idx="3">
                  <c:v>TX</c:v>
                </c:pt>
                <c:pt idx="4">
                  <c:v>NY</c:v>
                </c:pt>
                <c:pt idx="5">
                  <c:v>OH</c:v>
                </c:pt>
                <c:pt idx="6">
                  <c:v>GA</c:v>
                </c:pt>
                <c:pt idx="7">
                  <c:v>IL</c:v>
                </c:pt>
                <c:pt idx="8">
                  <c:v>NC</c:v>
                </c:pt>
                <c:pt idx="9">
                  <c:v>MI</c:v>
                </c:pt>
              </c:strCache>
            </c:strRef>
          </c:cat>
          <c:val>
            <c:numRef>
              <c:f>'Pivot State x Quarter'!$E$4:$E$13</c:f>
              <c:numCache>
                <c:formatCode>"R"#\ ##0</c:formatCode>
                <c:ptCount val="10"/>
                <c:pt idx="0">
                  <c:v>230000000</c:v>
                </c:pt>
                <c:pt idx="1">
                  <c:v>220000000</c:v>
                </c:pt>
                <c:pt idx="2">
                  <c:v>187000000</c:v>
                </c:pt>
                <c:pt idx="3">
                  <c:v>182000000</c:v>
                </c:pt>
                <c:pt idx="4">
                  <c:v>160000000</c:v>
                </c:pt>
                <c:pt idx="5">
                  <c:v>142000000</c:v>
                </c:pt>
                <c:pt idx="6">
                  <c:v>131000000</c:v>
                </c:pt>
                <c:pt idx="7">
                  <c:v>124000000</c:v>
                </c:pt>
                <c:pt idx="8">
                  <c:v>114000000</c:v>
                </c:pt>
                <c:pt idx="9">
                  <c:v>107000000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CF-4D1C-A308-EE7C70E1F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>
      <a:outerShdw blurRad="50800" dist="38100" dir="5400000" algn="t" rotWithShape="0">
        <a:schemeClr val="tx1"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1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678180</xdr:colOff>
      <xdr:row>2</xdr:row>
      <xdr:rowOff>83820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662940</xdr:colOff>
      <xdr:row>24</xdr:row>
      <xdr:rowOff>152400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350520</xdr:colOff>
      <xdr:row>1</xdr:row>
      <xdr:rowOff>45720</xdr:rowOff>
    </xdr:from>
    <xdr:ext cx="5966460" cy="4198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6480000" cy="52425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495300</xdr:colOff>
      <xdr:row>0</xdr:row>
      <xdr:rowOff>7620</xdr:rowOff>
    </xdr:from>
    <xdr:ext cx="5471160" cy="39395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358140</xdr:colOff>
      <xdr:row>22</xdr:row>
      <xdr:rowOff>160020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M17" sqref="M17"/>
    </sheetView>
  </sheetViews>
  <sheetFormatPr defaultRowHeight="14.4" x14ac:dyDescent="0.3"/>
  <cols>
    <col min="1" max="1" width="32" customWidth="1"/>
    <col min="2" max="2" width="14" customWidth="1"/>
    <col min="3" max="5" width="13" customWidth="1"/>
  </cols>
  <sheetData>
    <row r="1" spans="1:5" ht="17.399999999999999" x14ac:dyDescent="0.3">
      <c r="A1" s="7" t="s">
        <v>0</v>
      </c>
      <c r="B1" s="8"/>
      <c r="C1" s="8"/>
      <c r="D1" s="8"/>
      <c r="E1" s="8"/>
    </row>
    <row r="3" spans="1:5" x14ac:dyDescent="0.3">
      <c r="A3" s="1" t="s">
        <v>1</v>
      </c>
      <c r="B3" s="1" t="s">
        <v>2</v>
      </c>
    </row>
    <row r="4" spans="1:5" x14ac:dyDescent="0.3">
      <c r="A4" s="2" t="s">
        <v>3</v>
      </c>
      <c r="B4" s="3">
        <v>7610000000</v>
      </c>
    </row>
    <row r="5" spans="1:5" x14ac:dyDescent="0.3">
      <c r="A5" s="2" t="s">
        <v>4</v>
      </c>
      <c r="B5" s="4">
        <v>558800</v>
      </c>
    </row>
    <row r="6" spans="1:5" x14ac:dyDescent="0.3">
      <c r="A6" s="2" t="s">
        <v>5</v>
      </c>
      <c r="B6" s="3">
        <f>B4/B5</f>
        <v>13618.4681460272</v>
      </c>
    </row>
    <row r="7" spans="1:5" x14ac:dyDescent="0.3">
      <c r="A7" s="2" t="s">
        <v>6</v>
      </c>
      <c r="B7">
        <v>50</v>
      </c>
    </row>
    <row r="8" spans="1:5" x14ac:dyDescent="0.3">
      <c r="A8" s="2" t="s">
        <v>7</v>
      </c>
      <c r="B8">
        <v>30</v>
      </c>
    </row>
    <row r="11" spans="1:5" x14ac:dyDescent="0.3">
      <c r="A11" s="1" t="s">
        <v>8</v>
      </c>
      <c r="B11" s="1" t="s">
        <v>9</v>
      </c>
    </row>
    <row r="12" spans="1:5" x14ac:dyDescent="0.3">
      <c r="A12" t="s">
        <v>10</v>
      </c>
      <c r="B12" s="3">
        <v>1750000000</v>
      </c>
    </row>
    <row r="13" spans="1:5" x14ac:dyDescent="0.3">
      <c r="A13" t="s">
        <v>11</v>
      </c>
      <c r="B13" s="3">
        <v>1880000000</v>
      </c>
    </row>
    <row r="14" spans="1:5" x14ac:dyDescent="0.3">
      <c r="A14" t="s">
        <v>12</v>
      </c>
      <c r="B14" s="3">
        <v>1950000000</v>
      </c>
    </row>
    <row r="15" spans="1:5" x14ac:dyDescent="0.3">
      <c r="A15" t="s">
        <v>13</v>
      </c>
      <c r="B15" s="3">
        <v>2030000000</v>
      </c>
    </row>
    <row r="28" spans="1:2" x14ac:dyDescent="0.3">
      <c r="A28" s="1" t="s">
        <v>14</v>
      </c>
      <c r="B28" s="1" t="s">
        <v>9</v>
      </c>
    </row>
    <row r="29" spans="1:2" x14ac:dyDescent="0.3">
      <c r="A29" t="s">
        <v>15</v>
      </c>
      <c r="B29" s="3">
        <v>3200000000</v>
      </c>
    </row>
    <row r="30" spans="1:2" x14ac:dyDescent="0.3">
      <c r="A30" t="s">
        <v>16</v>
      </c>
      <c r="B30" s="3">
        <v>2900000000</v>
      </c>
    </row>
    <row r="31" spans="1:2" x14ac:dyDescent="0.3">
      <c r="A31" t="s">
        <v>17</v>
      </c>
      <c r="B31" s="3">
        <v>1510000000</v>
      </c>
    </row>
  </sheetData>
  <mergeCells count="1">
    <mergeCell ref="A1:E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opLeftCell="A9" workbookViewId="0">
      <selection activeCell="Q10" sqref="Q10"/>
    </sheetView>
  </sheetViews>
  <sheetFormatPr defaultRowHeight="14.4" x14ac:dyDescent="0.3"/>
  <cols>
    <col min="1" max="1" width="27" customWidth="1"/>
    <col min="2" max="2" width="13" customWidth="1"/>
    <col min="3" max="3" width="14" customWidth="1"/>
    <col min="4" max="4" width="23" customWidth="1"/>
  </cols>
  <sheetData>
    <row r="1" spans="1:4" ht="17.399999999999999" x14ac:dyDescent="0.3">
      <c r="A1" s="7" t="s">
        <v>18</v>
      </c>
      <c r="B1" s="8"/>
      <c r="C1" s="8"/>
      <c r="D1" s="8"/>
    </row>
    <row r="3" spans="1:4" x14ac:dyDescent="0.3">
      <c r="A3" s="1" t="s">
        <v>19</v>
      </c>
      <c r="B3" s="1" t="s">
        <v>20</v>
      </c>
      <c r="C3" s="1" t="s">
        <v>9</v>
      </c>
      <c r="D3" s="1" t="s">
        <v>21</v>
      </c>
    </row>
    <row r="4" spans="1:4" x14ac:dyDescent="0.3">
      <c r="A4">
        <v>1</v>
      </c>
      <c r="B4" t="s">
        <v>22</v>
      </c>
      <c r="C4" s="3">
        <v>890000000</v>
      </c>
      <c r="D4" s="5">
        <f t="shared" ref="D4:D13" si="0">C4/SUM($C$4:$C$13)</f>
        <v>0.14590163934426228</v>
      </c>
    </row>
    <row r="5" spans="1:4" x14ac:dyDescent="0.3">
      <c r="A5">
        <v>2</v>
      </c>
      <c r="B5" t="s">
        <v>23</v>
      </c>
      <c r="C5" s="3">
        <v>845000000</v>
      </c>
      <c r="D5" s="5">
        <f t="shared" si="0"/>
        <v>0.13852459016393442</v>
      </c>
    </row>
    <row r="6" spans="1:4" x14ac:dyDescent="0.3">
      <c r="A6">
        <v>3</v>
      </c>
      <c r="B6" t="s">
        <v>24</v>
      </c>
      <c r="C6" s="3">
        <v>720000000</v>
      </c>
      <c r="D6" s="5">
        <f t="shared" si="0"/>
        <v>0.11803278688524591</v>
      </c>
    </row>
    <row r="7" spans="1:4" x14ac:dyDescent="0.3">
      <c r="A7">
        <v>4</v>
      </c>
      <c r="B7" t="s">
        <v>25</v>
      </c>
      <c r="C7" s="3">
        <v>695000000</v>
      </c>
      <c r="D7" s="5">
        <f t="shared" si="0"/>
        <v>0.1139344262295082</v>
      </c>
    </row>
    <row r="8" spans="1:4" x14ac:dyDescent="0.3">
      <c r="A8">
        <v>5</v>
      </c>
      <c r="B8" t="s">
        <v>26</v>
      </c>
      <c r="C8" s="3">
        <v>610000000</v>
      </c>
      <c r="D8" s="5">
        <f t="shared" si="0"/>
        <v>0.1</v>
      </c>
    </row>
    <row r="9" spans="1:4" x14ac:dyDescent="0.3">
      <c r="A9">
        <v>6</v>
      </c>
      <c r="B9" t="s">
        <v>27</v>
      </c>
      <c r="C9" s="3">
        <v>540000000</v>
      </c>
      <c r="D9" s="5">
        <f t="shared" si="0"/>
        <v>8.8524590163934422E-2</v>
      </c>
    </row>
    <row r="10" spans="1:4" x14ac:dyDescent="0.3">
      <c r="A10">
        <v>7</v>
      </c>
      <c r="B10" t="s">
        <v>28</v>
      </c>
      <c r="C10" s="3">
        <v>495000000</v>
      </c>
      <c r="D10" s="5">
        <f t="shared" si="0"/>
        <v>8.1147540983606561E-2</v>
      </c>
    </row>
    <row r="11" spans="1:4" x14ac:dyDescent="0.3">
      <c r="A11">
        <v>8</v>
      </c>
      <c r="B11" t="s">
        <v>29</v>
      </c>
      <c r="C11" s="3">
        <v>470000000</v>
      </c>
      <c r="D11" s="5">
        <f t="shared" si="0"/>
        <v>7.7049180327868852E-2</v>
      </c>
    </row>
    <row r="12" spans="1:4" x14ac:dyDescent="0.3">
      <c r="A12">
        <v>9</v>
      </c>
      <c r="B12" t="s">
        <v>30</v>
      </c>
      <c r="C12" s="3">
        <v>430000000</v>
      </c>
      <c r="D12" s="5">
        <f t="shared" si="0"/>
        <v>7.0491803278688522E-2</v>
      </c>
    </row>
    <row r="13" spans="1:4" x14ac:dyDescent="0.3">
      <c r="A13">
        <v>10</v>
      </c>
      <c r="B13" t="s">
        <v>31</v>
      </c>
      <c r="C13" s="3">
        <v>405000000</v>
      </c>
      <c r="D13" s="5">
        <f t="shared" si="0"/>
        <v>6.6393442622950813E-2</v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opLeftCell="A15" workbookViewId="0">
      <selection activeCell="E20" sqref="E20"/>
    </sheetView>
  </sheetViews>
  <sheetFormatPr defaultRowHeight="14.4" x14ac:dyDescent="0.3"/>
  <cols>
    <col min="1" max="1" width="29" customWidth="1"/>
    <col min="2" max="3" width="13" customWidth="1"/>
    <col min="4" max="4" width="14" customWidth="1"/>
  </cols>
  <sheetData>
    <row r="1" spans="1:4" ht="17.399999999999999" x14ac:dyDescent="0.3">
      <c r="A1" s="7" t="s">
        <v>32</v>
      </c>
      <c r="B1" s="8"/>
      <c r="C1" s="8"/>
      <c r="D1" s="8"/>
    </row>
    <row r="3" spans="1:4" x14ac:dyDescent="0.3">
      <c r="A3" s="1" t="s">
        <v>19</v>
      </c>
      <c r="B3" s="1" t="s">
        <v>33</v>
      </c>
      <c r="C3" s="1" t="s">
        <v>34</v>
      </c>
      <c r="D3" s="1" t="s">
        <v>9</v>
      </c>
    </row>
    <row r="4" spans="1:4" x14ac:dyDescent="0.3">
      <c r="A4">
        <v>1</v>
      </c>
      <c r="B4" t="s">
        <v>35</v>
      </c>
      <c r="C4" t="s">
        <v>36</v>
      </c>
      <c r="D4" s="3">
        <v>520000000</v>
      </c>
    </row>
    <row r="5" spans="1:4" x14ac:dyDescent="0.3">
      <c r="A5">
        <v>2</v>
      </c>
      <c r="B5" t="s">
        <v>37</v>
      </c>
      <c r="C5" t="s">
        <v>38</v>
      </c>
      <c r="D5" s="3">
        <v>445000000</v>
      </c>
    </row>
    <row r="6" spans="1:4" x14ac:dyDescent="0.3">
      <c r="A6">
        <v>3</v>
      </c>
      <c r="B6" t="s">
        <v>39</v>
      </c>
      <c r="C6" t="s">
        <v>36</v>
      </c>
      <c r="D6" s="3">
        <v>410000000</v>
      </c>
    </row>
    <row r="7" spans="1:4" x14ac:dyDescent="0.3">
      <c r="A7">
        <v>4</v>
      </c>
      <c r="B7" t="s">
        <v>40</v>
      </c>
      <c r="C7" t="s">
        <v>41</v>
      </c>
      <c r="D7" s="3">
        <v>395000000</v>
      </c>
    </row>
    <row r="8" spans="1:4" x14ac:dyDescent="0.3">
      <c r="A8">
        <v>5</v>
      </c>
      <c r="B8" t="s">
        <v>42</v>
      </c>
      <c r="C8" t="s">
        <v>43</v>
      </c>
      <c r="D8" s="3">
        <v>380000000</v>
      </c>
    </row>
    <row r="9" spans="1:4" x14ac:dyDescent="0.3">
      <c r="A9">
        <v>6</v>
      </c>
      <c r="B9" t="s">
        <v>44</v>
      </c>
      <c r="C9" t="s">
        <v>45</v>
      </c>
      <c r="D9" s="3">
        <v>355000000</v>
      </c>
    </row>
    <row r="10" spans="1:4" x14ac:dyDescent="0.3">
      <c r="A10">
        <v>7</v>
      </c>
      <c r="B10" t="s">
        <v>46</v>
      </c>
      <c r="C10" t="s">
        <v>43</v>
      </c>
      <c r="D10" s="3">
        <v>340000000</v>
      </c>
    </row>
    <row r="11" spans="1:4" x14ac:dyDescent="0.3">
      <c r="A11">
        <v>8</v>
      </c>
      <c r="B11" t="s">
        <v>47</v>
      </c>
      <c r="C11" t="s">
        <v>41</v>
      </c>
      <c r="D11" s="3">
        <v>315000000</v>
      </c>
    </row>
    <row r="12" spans="1:4" x14ac:dyDescent="0.3">
      <c r="A12">
        <v>9</v>
      </c>
      <c r="B12" t="s">
        <v>48</v>
      </c>
      <c r="C12" t="s">
        <v>45</v>
      </c>
      <c r="D12" s="3">
        <v>295000000</v>
      </c>
    </row>
    <row r="13" spans="1:4" x14ac:dyDescent="0.3">
      <c r="A13">
        <v>10</v>
      </c>
      <c r="B13" t="s">
        <v>49</v>
      </c>
      <c r="C13" t="s">
        <v>36</v>
      </c>
      <c r="D13" s="3">
        <v>275000000</v>
      </c>
    </row>
  </sheetData>
  <mergeCells count="1">
    <mergeCell ref="A1:D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topLeftCell="A18" workbookViewId="0">
      <selection activeCell="O34" sqref="O34"/>
    </sheetView>
  </sheetViews>
  <sheetFormatPr defaultRowHeight="14.4" x14ac:dyDescent="0.3"/>
  <cols>
    <col min="1" max="1" width="25" customWidth="1"/>
    <col min="2" max="2" width="14" customWidth="1"/>
    <col min="3" max="3" width="21" customWidth="1"/>
  </cols>
  <sheetData>
    <row r="1" spans="1:3" ht="17.399999999999999" x14ac:dyDescent="0.3">
      <c r="A1" s="7" t="s">
        <v>50</v>
      </c>
      <c r="B1" s="8"/>
      <c r="C1" s="8"/>
    </row>
    <row r="3" spans="1:3" x14ac:dyDescent="0.3">
      <c r="A3" s="1" t="s">
        <v>51</v>
      </c>
      <c r="B3" s="1" t="s">
        <v>9</v>
      </c>
      <c r="C3" s="1" t="s">
        <v>52</v>
      </c>
    </row>
    <row r="4" spans="1:3" x14ac:dyDescent="0.3">
      <c r="A4" t="s">
        <v>53</v>
      </c>
      <c r="B4" s="3">
        <v>2450000000</v>
      </c>
      <c r="C4" s="5">
        <f>B4/SUM($B$4:$B$8)</f>
        <v>0.32194480946123522</v>
      </c>
    </row>
    <row r="5" spans="1:3" x14ac:dyDescent="0.3">
      <c r="A5" t="s">
        <v>54</v>
      </c>
      <c r="B5" s="3">
        <v>2280000000</v>
      </c>
      <c r="C5" s="5">
        <f>B5/SUM($B$4:$B$8)</f>
        <v>0.29960578186596581</v>
      </c>
    </row>
    <row r="6" spans="1:3" x14ac:dyDescent="0.3">
      <c r="A6" t="s">
        <v>55</v>
      </c>
      <c r="B6" s="3">
        <v>1620000000</v>
      </c>
      <c r="C6" s="5">
        <f>B6/SUM($B$4:$B$8)</f>
        <v>0.21287779237844942</v>
      </c>
    </row>
    <row r="7" spans="1:3" x14ac:dyDescent="0.3">
      <c r="A7" t="s">
        <v>56</v>
      </c>
      <c r="B7" s="3">
        <v>780000000</v>
      </c>
      <c r="C7" s="5">
        <f>B7/SUM($B$4:$B$8)</f>
        <v>0.10249671484888305</v>
      </c>
    </row>
    <row r="8" spans="1:3" x14ac:dyDescent="0.3">
      <c r="A8" t="s">
        <v>57</v>
      </c>
      <c r="B8" s="3">
        <v>480000000</v>
      </c>
      <c r="C8" s="5">
        <f>B8/SUM($B$4:$B$8)</f>
        <v>6.3074901445466486E-2</v>
      </c>
    </row>
    <row r="26" spans="1:3" ht="17.399999999999999" x14ac:dyDescent="0.3">
      <c r="A26" s="7" t="s">
        <v>58</v>
      </c>
      <c r="B26" s="8"/>
      <c r="C26" s="8"/>
    </row>
    <row r="28" spans="1:3" x14ac:dyDescent="0.3">
      <c r="A28" s="1" t="s">
        <v>34</v>
      </c>
      <c r="B28" s="1" t="s">
        <v>9</v>
      </c>
    </row>
    <row r="29" spans="1:3" x14ac:dyDescent="0.3">
      <c r="A29" t="s">
        <v>36</v>
      </c>
      <c r="B29" s="3">
        <v>1620000000</v>
      </c>
    </row>
    <row r="30" spans="1:3" x14ac:dyDescent="0.3">
      <c r="A30" t="s">
        <v>41</v>
      </c>
      <c r="B30" s="3">
        <v>1380000000</v>
      </c>
    </row>
    <row r="31" spans="1:3" x14ac:dyDescent="0.3">
      <c r="A31" t="s">
        <v>43</v>
      </c>
      <c r="B31" s="3">
        <v>1290000000</v>
      </c>
    </row>
    <row r="32" spans="1:3" x14ac:dyDescent="0.3">
      <c r="A32" t="s">
        <v>45</v>
      </c>
      <c r="B32" s="3">
        <v>1110000000</v>
      </c>
    </row>
    <row r="33" spans="1:2" x14ac:dyDescent="0.3">
      <c r="A33" t="s">
        <v>38</v>
      </c>
      <c r="B33" s="3">
        <v>895000000</v>
      </c>
    </row>
  </sheetData>
  <mergeCells count="2">
    <mergeCell ref="A1:C1"/>
    <mergeCell ref="A26:C26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G24" sqref="G24"/>
    </sheetView>
  </sheetViews>
  <sheetFormatPr defaultRowHeight="14.4" x14ac:dyDescent="0.3"/>
  <cols>
    <col min="1" max="1" width="32" customWidth="1"/>
    <col min="2" max="5" width="15" customWidth="1"/>
    <col min="6" max="6" width="16" customWidth="1"/>
  </cols>
  <sheetData>
    <row r="1" spans="1:6" ht="17.399999999999999" x14ac:dyDescent="0.3">
      <c r="A1" s="7" t="s">
        <v>59</v>
      </c>
      <c r="B1" s="8"/>
      <c r="C1" s="8"/>
      <c r="D1" s="8"/>
      <c r="E1" s="8"/>
      <c r="F1" s="8"/>
    </row>
    <row r="3" spans="1:6" x14ac:dyDescent="0.3">
      <c r="A3" s="1" t="s">
        <v>20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60</v>
      </c>
    </row>
    <row r="4" spans="1:6" x14ac:dyDescent="0.3">
      <c r="A4" t="s">
        <v>22</v>
      </c>
      <c r="B4" s="3">
        <v>210000000</v>
      </c>
      <c r="C4" s="3">
        <v>225000000</v>
      </c>
      <c r="D4" s="3">
        <v>225000000</v>
      </c>
      <c r="E4" s="3">
        <v>230000000</v>
      </c>
      <c r="F4" s="3">
        <f t="shared" ref="F4:F13" si="0">SUM(B4:E4)</f>
        <v>890000000</v>
      </c>
    </row>
    <row r="5" spans="1:6" x14ac:dyDescent="0.3">
      <c r="A5" t="s">
        <v>23</v>
      </c>
      <c r="B5" s="3">
        <v>200000000</v>
      </c>
      <c r="C5" s="3">
        <v>210000000</v>
      </c>
      <c r="D5" s="3">
        <v>215000000</v>
      </c>
      <c r="E5" s="3">
        <v>220000000</v>
      </c>
      <c r="F5" s="3">
        <f t="shared" si="0"/>
        <v>845000000</v>
      </c>
    </row>
    <row r="6" spans="1:6" x14ac:dyDescent="0.3">
      <c r="A6" t="s">
        <v>24</v>
      </c>
      <c r="B6" s="3">
        <v>170000000</v>
      </c>
      <c r="C6" s="3">
        <v>178000000</v>
      </c>
      <c r="D6" s="3">
        <v>185000000</v>
      </c>
      <c r="E6" s="3">
        <v>187000000</v>
      </c>
      <c r="F6" s="3">
        <f t="shared" si="0"/>
        <v>720000000</v>
      </c>
    </row>
    <row r="7" spans="1:6" x14ac:dyDescent="0.3">
      <c r="A7" t="s">
        <v>25</v>
      </c>
      <c r="B7" s="3">
        <v>165000000</v>
      </c>
      <c r="C7" s="3">
        <v>170000000</v>
      </c>
      <c r="D7" s="3">
        <v>178000000</v>
      </c>
      <c r="E7" s="3">
        <v>182000000</v>
      </c>
      <c r="F7" s="3">
        <f t="shared" si="0"/>
        <v>695000000</v>
      </c>
    </row>
    <row r="8" spans="1:6" x14ac:dyDescent="0.3">
      <c r="A8" t="s">
        <v>26</v>
      </c>
      <c r="B8" s="3">
        <v>145000000</v>
      </c>
      <c r="C8" s="3">
        <v>150000000</v>
      </c>
      <c r="D8" s="3">
        <v>155000000</v>
      </c>
      <c r="E8" s="3">
        <v>160000000</v>
      </c>
      <c r="F8" s="3">
        <f t="shared" si="0"/>
        <v>610000000</v>
      </c>
    </row>
    <row r="9" spans="1:6" x14ac:dyDescent="0.3">
      <c r="A9" t="s">
        <v>27</v>
      </c>
      <c r="B9" s="3">
        <v>128000000</v>
      </c>
      <c r="C9" s="3">
        <v>132000000</v>
      </c>
      <c r="D9" s="3">
        <v>138000000</v>
      </c>
      <c r="E9" s="3">
        <v>142000000</v>
      </c>
      <c r="F9" s="3">
        <f t="shared" si="0"/>
        <v>540000000</v>
      </c>
    </row>
    <row r="10" spans="1:6" x14ac:dyDescent="0.3">
      <c r="A10" t="s">
        <v>28</v>
      </c>
      <c r="B10" s="3">
        <v>115000000</v>
      </c>
      <c r="C10" s="3">
        <v>122000000</v>
      </c>
      <c r="D10" s="3">
        <v>127000000</v>
      </c>
      <c r="E10" s="3">
        <v>131000000</v>
      </c>
      <c r="F10" s="3">
        <f t="shared" si="0"/>
        <v>495000000</v>
      </c>
    </row>
    <row r="11" spans="1:6" x14ac:dyDescent="0.3">
      <c r="A11" t="s">
        <v>29</v>
      </c>
      <c r="B11" s="3">
        <v>110000000</v>
      </c>
      <c r="C11" s="3">
        <v>116000000</v>
      </c>
      <c r="D11" s="3">
        <v>120000000</v>
      </c>
      <c r="E11" s="3">
        <v>124000000</v>
      </c>
      <c r="F11" s="3">
        <f t="shared" si="0"/>
        <v>470000000</v>
      </c>
    </row>
    <row r="12" spans="1:6" x14ac:dyDescent="0.3">
      <c r="A12" t="s">
        <v>30</v>
      </c>
      <c r="B12" s="3">
        <v>100000000</v>
      </c>
      <c r="C12" s="3">
        <v>106000000</v>
      </c>
      <c r="D12" s="3">
        <v>110000000</v>
      </c>
      <c r="E12" s="3">
        <v>114000000</v>
      </c>
      <c r="F12" s="3">
        <f t="shared" si="0"/>
        <v>430000000</v>
      </c>
    </row>
    <row r="13" spans="1:6" x14ac:dyDescent="0.3">
      <c r="A13" t="s">
        <v>31</v>
      </c>
      <c r="B13" s="3">
        <v>95000000</v>
      </c>
      <c r="C13" s="3">
        <v>100000000</v>
      </c>
      <c r="D13" s="3">
        <v>103000000</v>
      </c>
      <c r="E13" s="3">
        <v>107000000</v>
      </c>
      <c r="F13" s="3">
        <f t="shared" si="0"/>
        <v>405000000</v>
      </c>
    </row>
    <row r="14" spans="1:6" x14ac:dyDescent="0.3">
      <c r="A14" s="2" t="s">
        <v>60</v>
      </c>
      <c r="B14" s="6">
        <f>SUM(B4:B13)</f>
        <v>1438000000</v>
      </c>
      <c r="C14" s="6">
        <f>SUM(C4:C13)</f>
        <v>1509000000</v>
      </c>
      <c r="D14" s="6">
        <f>SUM(D4:D13)</f>
        <v>1556000000</v>
      </c>
      <c r="E14" s="6">
        <f>SUM(E4:E13)</f>
        <v>1597000000</v>
      </c>
      <c r="F14" s="6">
        <f>SUM(F4:F13)</f>
        <v>6100000000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KPIs</vt:lpstr>
      <vt:lpstr>Revenue by State</vt:lpstr>
      <vt:lpstr>Top 10 Sellers</vt:lpstr>
      <vt:lpstr>Body Style Mix</vt:lpstr>
      <vt:lpstr>Pivot State x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Tendai Shumba</cp:lastModifiedBy>
  <dcterms:created xsi:type="dcterms:W3CDTF">2026-04-28T10:56:36Z</dcterms:created>
  <dcterms:modified xsi:type="dcterms:W3CDTF">2026-04-28T11:13:42Z</dcterms:modified>
</cp:coreProperties>
</file>